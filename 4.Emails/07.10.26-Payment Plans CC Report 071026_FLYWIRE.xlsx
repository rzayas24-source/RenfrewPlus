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AP\Payment Plan Reports 2026\"/>
    </mc:Choice>
  </mc:AlternateContent>
  <xr:revisionPtr revIDLastSave="0" documentId="8_{4D59C57B-76C3-4B7A-861E-6F581C685160}" xr6:coauthVersionLast="47" xr6:coauthVersionMax="47" xr10:uidLastSave="{00000000-0000-0000-0000-000000000000}"/>
  <bookViews>
    <workbookView xWindow="28680" yWindow="-120" windowWidth="29040" windowHeight="15720" xr2:uid="{D8CBC8C4-5076-48A4-BCA5-C55FFC053DE9}"/>
  </bookViews>
  <sheets>
    <sheet name="PaymentsDetailedReport20260710_" sheetId="1" r:id="rId1"/>
  </sheets>
  <definedNames>
    <definedName name="_xlnm.Print_Area" localSheetId="0">PaymentsDetailedReport20260710_!$A$1:$K$13</definedName>
  </definedNames>
  <calcPr calcId="0"/>
</workbook>
</file>

<file path=xl/calcChain.xml><?xml version="1.0" encoding="utf-8"?>
<calcChain xmlns="http://schemas.openxmlformats.org/spreadsheetml/2006/main">
  <c r="F11" i="1" l="1"/>
</calcChain>
</file>

<file path=xl/sharedStrings.xml><?xml version="1.0" encoding="utf-8"?>
<sst xmlns="http://schemas.openxmlformats.org/spreadsheetml/2006/main" count="86" uniqueCount="57">
  <si>
    <t>Location</t>
  </si>
  <si>
    <t>Department</t>
  </si>
  <si>
    <t>Payment Method</t>
  </si>
  <si>
    <t>Type</t>
  </si>
  <si>
    <t>Time</t>
  </si>
  <si>
    <t>Amount</t>
  </si>
  <si>
    <t>ID</t>
  </si>
  <si>
    <t>Account #</t>
  </si>
  <si>
    <t>Billing Name</t>
  </si>
  <si>
    <t>Application</t>
  </si>
  <si>
    <t>Credit</t>
  </si>
  <si>
    <t>INTENSIVE OUTPATIENT</t>
  </si>
  <si>
    <t>DAY TREATMENT</t>
  </si>
  <si>
    <t>RENFREW CENTER CORPORATE</t>
  </si>
  <si>
    <t>Payment Plan</t>
  </si>
  <si>
    <t>Credit Visa - 9273</t>
  </si>
  <si>
    <t>07/10/2026 07:04AM PDT</t>
  </si>
  <si>
    <t>b2eyix/371656256</t>
  </si>
  <si>
    <t>Donna Powell</t>
  </si>
  <si>
    <t>RESIDENTIAL</t>
  </si>
  <si>
    <t>Credit American Express - 7022</t>
  </si>
  <si>
    <t>b2fyix/371689024</t>
  </si>
  <si>
    <t>Levia R Driscoll</t>
  </si>
  <si>
    <t>Finance-Corp</t>
  </si>
  <si>
    <t>Credit Discover - 5678</t>
  </si>
  <si>
    <t>07/10/2026 10:31AM PDT</t>
  </si>
  <si>
    <t>b3jyix/372868672</t>
  </si>
  <si>
    <t>Julia A Comins</t>
  </si>
  <si>
    <t>Credit MasterCard - 5069</t>
  </si>
  <si>
    <t>07/10/2026 11:18AM PDT</t>
  </si>
  <si>
    <t>b42yix/373360192</t>
  </si>
  <si>
    <t>HealthEquity Inc</t>
  </si>
  <si>
    <t>Credit MasterCard - 1482</t>
  </si>
  <si>
    <t>07/10/2026 11:20AM PDT</t>
  </si>
  <si>
    <t>b43yix/373392960</t>
  </si>
  <si>
    <t>Meritain Health</t>
  </si>
  <si>
    <t>Credit MasterCard - 6648</t>
  </si>
  <si>
    <t>07/10/2026 11:21AM PDT</t>
  </si>
  <si>
    <t>b45yix/373458496</t>
  </si>
  <si>
    <t>Credit MasterCard - 5962</t>
  </si>
  <si>
    <t>07/10/2026 11:22AM PDT</t>
  </si>
  <si>
    <t>b46yix/373491264</t>
  </si>
  <si>
    <t>Credit Visa - 4919</t>
  </si>
  <si>
    <t>07/10/2026 11:23AM PDT</t>
  </si>
  <si>
    <t>b47yix/373524032</t>
  </si>
  <si>
    <t>AmeriHealth Administrators</t>
  </si>
  <si>
    <t>Patient Name</t>
  </si>
  <si>
    <t>TOTAL:</t>
  </si>
  <si>
    <t>Justin Driscoll</t>
  </si>
  <si>
    <t>Cara Powell</t>
  </si>
  <si>
    <t>Luna Comins</t>
  </si>
  <si>
    <t>Zara Wellesley</t>
  </si>
  <si>
    <t>Ashlyn Slone</t>
  </si>
  <si>
    <t>Cameron Weeks</t>
  </si>
  <si>
    <t>Shaelyn Steward</t>
  </si>
  <si>
    <t>PAYMENT PLANS: $807.03</t>
  </si>
  <si>
    <t>AR COLLECTIONS: $11,730.22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</si>
</sst>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 applyAlignment="1">
      <alignment horizontal="center"/>
    </xf>
    <xf numFmtId="8" fontId="16" fillId="0" borderId="0" xfId="0" applyNumberFormat="1" applyFont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16" fillId="33" borderId="0" xfId="0" applyFont="1" applyFill="1" applyAlignment="1">
      <alignment horizontal="right"/>
    </xf>
    <xf numFmtId="8" fontId="16" fillId="33" borderId="0" xfId="0" applyNumberFormat="1" applyFont="1" applyFill="1" applyAlignment="1">
      <alignment horizontal="center"/>
    </xf>
    <xf numFmtId="8" fontId="16" fillId="0" borderId="10" xfId="0" applyNumberFormat="1" applyFont="1" applyBorder="1" applyAlignment="1">
      <alignment horizontal="center"/>
    </xf>
    <xf numFmtId="0" fontId="16" fillId="33" borderId="0" xfId="0" applyFon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0C457-2EC8-4EA1-8DBA-56318B778AEB}">
  <dimension ref="A1:K21"/>
  <sheetViews>
    <sheetView tabSelected="1" workbookViewId="0">
      <selection activeCell="A14" sqref="A14"/>
    </sheetView>
  </sheetViews>
  <sheetFormatPr defaultRowHeight="15" x14ac:dyDescent="0.25"/>
  <cols>
    <col min="1" max="1" width="31" customWidth="1"/>
    <col min="2" max="2" width="16.85546875" customWidth="1"/>
    <col min="3" max="3" width="31.42578125" customWidth="1"/>
    <col min="4" max="4" width="12.28515625" customWidth="1"/>
    <col min="5" max="5" width="22.140625" customWidth="1"/>
    <col min="6" max="6" width="15.42578125" customWidth="1"/>
    <col min="7" max="7" width="22.7109375" customWidth="1"/>
    <col min="8" max="8" width="13.85546875" customWidth="1"/>
    <col min="9" max="9" width="19.140625" customWidth="1"/>
    <col min="10" max="10" width="29.5703125" customWidth="1"/>
    <col min="11" max="11" width="25.42578125" customWidth="1"/>
  </cols>
  <sheetData>
    <row r="1" spans="1:1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46</v>
      </c>
      <c r="J1" s="3" t="s">
        <v>8</v>
      </c>
      <c r="K1" s="3" t="s">
        <v>9</v>
      </c>
    </row>
    <row r="2" spans="1:11" x14ac:dyDescent="0.25">
      <c r="A2" s="1" t="s">
        <v>13</v>
      </c>
      <c r="B2" s="1" t="s">
        <v>14</v>
      </c>
      <c r="C2" s="1" t="s">
        <v>15</v>
      </c>
      <c r="D2" s="1" t="s">
        <v>10</v>
      </c>
      <c r="E2" s="1" t="s">
        <v>16</v>
      </c>
      <c r="F2" s="2">
        <v>223.7</v>
      </c>
      <c r="G2" s="1" t="s">
        <v>17</v>
      </c>
      <c r="H2" s="1">
        <v>112482</v>
      </c>
      <c r="I2" s="1" t="s">
        <v>49</v>
      </c>
      <c r="J2" s="1" t="s">
        <v>18</v>
      </c>
      <c r="K2" s="1" t="s">
        <v>19</v>
      </c>
    </row>
    <row r="3" spans="1:11" x14ac:dyDescent="0.25">
      <c r="A3" s="1" t="s">
        <v>13</v>
      </c>
      <c r="B3" s="1" t="s">
        <v>14</v>
      </c>
      <c r="C3" s="1" t="s">
        <v>20</v>
      </c>
      <c r="D3" s="1" t="s">
        <v>10</v>
      </c>
      <c r="E3" s="1" t="s">
        <v>16</v>
      </c>
      <c r="F3" s="2">
        <v>583.33000000000004</v>
      </c>
      <c r="G3" s="1" t="s">
        <v>21</v>
      </c>
      <c r="H3" s="1">
        <v>135139</v>
      </c>
      <c r="I3" s="1" t="s">
        <v>48</v>
      </c>
      <c r="J3" s="1" t="s">
        <v>22</v>
      </c>
      <c r="K3" s="1" t="s">
        <v>19</v>
      </c>
    </row>
    <row r="4" spans="1:11" x14ac:dyDescent="0.25">
      <c r="A4" s="1" t="s">
        <v>13</v>
      </c>
      <c r="B4" s="1" t="s">
        <v>23</v>
      </c>
      <c r="C4" s="1" t="s">
        <v>24</v>
      </c>
      <c r="D4" s="1" t="s">
        <v>10</v>
      </c>
      <c r="E4" s="1" t="s">
        <v>25</v>
      </c>
      <c r="F4" s="2">
        <v>1000</v>
      </c>
      <c r="G4" s="1" t="s">
        <v>26</v>
      </c>
      <c r="H4" s="1">
        <v>136554</v>
      </c>
      <c r="I4" s="1" t="s">
        <v>50</v>
      </c>
      <c r="J4" s="1" t="s">
        <v>27</v>
      </c>
      <c r="K4" s="1" t="s">
        <v>19</v>
      </c>
    </row>
    <row r="5" spans="1:11" x14ac:dyDescent="0.25">
      <c r="A5" s="1" t="s">
        <v>13</v>
      </c>
      <c r="B5" s="1" t="s">
        <v>23</v>
      </c>
      <c r="C5" s="1" t="s">
        <v>28</v>
      </c>
      <c r="D5" s="1" t="s">
        <v>10</v>
      </c>
      <c r="E5" s="1" t="s">
        <v>29</v>
      </c>
      <c r="F5" s="2">
        <v>148.4</v>
      </c>
      <c r="G5" s="1" t="s">
        <v>30</v>
      </c>
      <c r="H5" s="1">
        <v>135566</v>
      </c>
      <c r="I5" s="1" t="s">
        <v>51</v>
      </c>
      <c r="J5" s="1" t="s">
        <v>31</v>
      </c>
      <c r="K5" s="1" t="s">
        <v>11</v>
      </c>
    </row>
    <row r="6" spans="1:11" x14ac:dyDescent="0.25">
      <c r="A6" s="1" t="s">
        <v>13</v>
      </c>
      <c r="B6" s="1" t="s">
        <v>23</v>
      </c>
      <c r="C6" s="1" t="s">
        <v>32</v>
      </c>
      <c r="D6" s="1" t="s">
        <v>10</v>
      </c>
      <c r="E6" s="1" t="s">
        <v>33</v>
      </c>
      <c r="F6" s="2">
        <v>913.41</v>
      </c>
      <c r="G6" s="1" t="s">
        <v>34</v>
      </c>
      <c r="H6" s="1">
        <v>135448</v>
      </c>
      <c r="I6" s="1" t="s">
        <v>52</v>
      </c>
      <c r="J6" s="1" t="s">
        <v>35</v>
      </c>
      <c r="K6" s="1" t="s">
        <v>11</v>
      </c>
    </row>
    <row r="7" spans="1:11" x14ac:dyDescent="0.25">
      <c r="A7" s="1" t="s">
        <v>13</v>
      </c>
      <c r="B7" s="1" t="s">
        <v>23</v>
      </c>
      <c r="C7" s="1" t="s">
        <v>36</v>
      </c>
      <c r="D7" s="1" t="s">
        <v>10</v>
      </c>
      <c r="E7" s="1" t="s">
        <v>37</v>
      </c>
      <c r="F7" s="2">
        <v>913.41</v>
      </c>
      <c r="G7" s="1" t="s">
        <v>38</v>
      </c>
      <c r="H7" s="1">
        <v>135448</v>
      </c>
      <c r="I7" s="1" t="s">
        <v>52</v>
      </c>
      <c r="J7" s="1" t="s">
        <v>35</v>
      </c>
      <c r="K7" s="1" t="s">
        <v>11</v>
      </c>
    </row>
    <row r="8" spans="1:11" x14ac:dyDescent="0.25">
      <c r="A8" s="1" t="s">
        <v>13</v>
      </c>
      <c r="B8" s="1" t="s">
        <v>23</v>
      </c>
      <c r="C8" s="1" t="s">
        <v>39</v>
      </c>
      <c r="D8" s="1" t="s">
        <v>10</v>
      </c>
      <c r="E8" s="1" t="s">
        <v>40</v>
      </c>
      <c r="F8" s="2">
        <v>2284</v>
      </c>
      <c r="G8" s="1" t="s">
        <v>41</v>
      </c>
      <c r="H8" s="1">
        <v>135589</v>
      </c>
      <c r="I8" s="1" t="s">
        <v>53</v>
      </c>
      <c r="J8" s="1" t="s">
        <v>35</v>
      </c>
      <c r="K8" s="1" t="s">
        <v>12</v>
      </c>
    </row>
    <row r="9" spans="1:11" x14ac:dyDescent="0.25">
      <c r="A9" s="1" t="s">
        <v>13</v>
      </c>
      <c r="B9" s="1" t="s">
        <v>23</v>
      </c>
      <c r="C9" s="1" t="s">
        <v>42</v>
      </c>
      <c r="D9" s="1" t="s">
        <v>10</v>
      </c>
      <c r="E9" s="1" t="s">
        <v>43</v>
      </c>
      <c r="F9" s="6">
        <v>6471</v>
      </c>
      <c r="G9" s="1" t="s">
        <v>44</v>
      </c>
      <c r="H9" s="1">
        <v>136183</v>
      </c>
      <c r="I9" s="1" t="s">
        <v>54</v>
      </c>
      <c r="J9" s="1" t="s">
        <v>45</v>
      </c>
      <c r="K9" s="1" t="s">
        <v>12</v>
      </c>
    </row>
    <row r="10" spans="1:1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1"/>
      <c r="B11" s="1"/>
      <c r="C11" s="1"/>
      <c r="D11" s="1"/>
      <c r="E11" s="4" t="s">
        <v>47</v>
      </c>
      <c r="F11" s="5">
        <f>SUM(F2:F10)</f>
        <v>12537.25</v>
      </c>
      <c r="G11" s="1"/>
      <c r="H11" s="1"/>
      <c r="I11" s="1"/>
      <c r="J11" s="1"/>
      <c r="K11" s="1"/>
    </row>
    <row r="12" spans="1:11" x14ac:dyDescent="0.25">
      <c r="A12" s="7" t="s">
        <v>55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7" t="s">
        <v>56</v>
      </c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</sheetData>
  <pageMargins left="0.7" right="0.7" top="0.75" bottom="0.75" header="0.3" footer="0.3"/>
  <pageSetup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PaymentsDetailedReport20260710_</vt:lpstr>
      <vt:lpstr>PaymentsDetailedReport20260710_!Print_Area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Tracy, Christine</dc:creator>
  <cp:lastModifiedBy>Tracy, Christine</cp:lastModifiedBy>
  <cp:lastPrinted>2026-07-10T18:34:22Z</cp:lastPrinted>
  <dcterms:created xsi:type="dcterms:W3CDTF">2026-07-10T18:35:14Z</dcterms:created>
  <dcterms:modified xsi:type="dcterms:W3CDTF">2026-07-10T18:35:18Z</dcterms:modified>
</cp:coreProperties>
</file>