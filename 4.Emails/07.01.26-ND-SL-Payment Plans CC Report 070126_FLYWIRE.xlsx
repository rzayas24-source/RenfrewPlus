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nfrew\Workflow\4_ImportedEmails\"/>
    </mc:Choice>
  </mc:AlternateContent>
  <xr:revisionPtr revIDLastSave="0" documentId="8_{15A38C85-84F9-42F8-9B34-CAB836DDA73F}" xr6:coauthVersionLast="47" xr6:coauthVersionMax="47" xr10:uidLastSave="{00000000-0000-0000-0000-000000000000}"/>
  <bookViews>
    <workbookView xWindow="-108" yWindow="-108" windowWidth="23256" windowHeight="12456" xr2:uid="{FDBBB92C-4C99-4789-8C52-60F37C6907A0}"/>
  </bookViews>
  <sheets>
    <sheet name="PaymentsDetailedReport20260701_" sheetId="1" r:id="rId1"/>
  </sheets>
  <definedNames>
    <definedName name="_xlnm.Print_Area" localSheetId="0">PaymentsDetailedReport20260701_!$A$1:$K$7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R4" i="1" s="1"/>
  <c r="N4" i="1"/>
  <c r="M4" i="1"/>
  <c r="S3" i="1"/>
  <c r="R3" i="1" s="1"/>
  <c r="N3" i="1"/>
  <c r="M3" i="1"/>
  <c r="S2" i="1"/>
  <c r="R2" i="1" s="1"/>
  <c r="N2" i="1"/>
  <c r="M2" i="1"/>
  <c r="F6" i="1"/>
  <c r="P4" i="1" l="1"/>
  <c r="Q4" i="1" s="1"/>
  <c r="O4" i="1" s="1"/>
  <c r="P3" i="1"/>
  <c r="Q3" i="1" s="1"/>
  <c r="O3" i="1" s="1"/>
  <c r="P2" i="1"/>
  <c r="Q2" i="1" s="1"/>
  <c r="O2" i="1" s="1"/>
</calcChain>
</file>

<file path=xl/sharedStrings.xml><?xml version="1.0" encoding="utf-8"?>
<sst xmlns="http://schemas.openxmlformats.org/spreadsheetml/2006/main" count="40" uniqueCount="29">
  <si>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</si>
  <si>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</si>
  <si>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</si>
  <si>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</si>
  <si>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</si>
  <si>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</si>
  <si>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</si>
  <si>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</si>
  <si>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</si>
  <si>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</si>
  <si>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RENFREW CENTER CORPORATE</t>
  </si>
  <si>
    <t>Payment Plan</t>
  </si>
  <si>
    <t>Credit Visa - 9544</t>
  </si>
  <si>
    <t>Credit</t>
  </si>
  <si>
    <t>07/01/2026 07:05AM PDT</t>
  </si>
  <si>
    <t>asxyix/364906048</t>
  </si>
  <si>
    <t>Cora J Baker</t>
  </si>
  <si>
    <t>RESIDENTIAL</t>
  </si>
  <si>
    <t>Credit Visa - 2529</t>
  </si>
  <si>
    <t>asyyix/364938816</t>
  </si>
  <si>
    <t>Megan Louhier</t>
  </si>
  <si>
    <t>Credit Visa - 9416</t>
  </si>
  <si>
    <t>as2yix/364971584</t>
  </si>
  <si>
    <t>Melissa A Brennan</t>
  </si>
  <si>
    <t>Patient Name</t>
  </si>
  <si>
    <t>Akia Nyrie Smith</t>
  </si>
  <si>
    <t>Melissa Brennan</t>
  </si>
  <si>
    <t>TOTAL:</t>
  </si>
  <si>
    <t>PAYMENT PLANS: $1,091.54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</si>
</sst>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16" fillId="0" borderId="0" xfId="0" applyFont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0" xfId="0" applyFont="1" applyFill="1" applyAlignment="1">
      <alignment horizontal="right"/>
    </xf>
    <xf numFmtId="8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left"/>
    </xf>
    <xf numFmtId="43" fontId="0" fillId="33" borderId="0" xfId="42" applyFont="1" applyFill="1"/>
    <xf numFmtId="40" fontId="0" fillId="33" borderId="0" xfId="0" applyNumberFormat="1" applyFill="1"/>
    <xf numFmtId="0" fontId="0" fillId="33" borderId="0" xfId="0" applyFill="1"/>
    <xf numFmtId="0" fontId="18" fillId="34" borderId="0" xfId="0" applyFont="1" applyFill="1"/>
    <xf numFmtId="0" fontId="16" fillId="33" borderId="0" xfId="0" applyFont="1" applyFill="1" applyAlignment="1">
      <alignment horizontal="center"/>
    </xf>
    <xf numFmtId="8" fontId="16" fillId="33" borderId="10" xfId="0" applyNumberFormat="1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BC65-36FB-4BEC-AE95-D7EE0C06DFF4}">
  <dimension ref="A1:S17"/>
  <sheetViews>
    <sheetView tabSelected="1" workbookViewId="0">
      <selection activeCell="D15" sqref="D15"/>
    </sheetView>
  </sheetViews>
  <sheetFormatPr defaultRowHeight="14.4" x14ac:dyDescent="0.3"/>
  <cols>
    <col min="1" max="1" width="32.33203125" customWidth="1"/>
    <col min="2" max="2" width="17" customWidth="1"/>
    <col min="3" max="3" width="21.6640625" customWidth="1"/>
    <col min="5" max="5" width="27.109375" customWidth="1"/>
    <col min="6" max="6" width="15.109375" customWidth="1"/>
    <col min="7" max="7" width="16.88671875" customWidth="1"/>
    <col min="8" max="8" width="14.5546875" customWidth="1"/>
    <col min="9" max="9" width="18.109375" customWidth="1"/>
    <col min="10" max="10" width="19.5546875" customWidth="1"/>
    <col min="11" max="11" width="18.44140625" customWidth="1"/>
    <col min="13" max="13" width="7.6640625" bestFit="1" customWidth="1"/>
    <col min="14" max="14" width="37.44140625" bestFit="1" customWidth="1"/>
    <col min="15" max="15" width="7.77734375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24</v>
      </c>
      <c r="J1" s="2" t="s">
        <v>8</v>
      </c>
      <c r="K1" s="2" t="s">
        <v>9</v>
      </c>
      <c r="L1" s="1"/>
    </row>
    <row r="2" spans="1:19" x14ac:dyDescent="0.3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4">
        <v>340</v>
      </c>
      <c r="G2" s="10" t="s">
        <v>15</v>
      </c>
      <c r="H2" s="10">
        <v>135660</v>
      </c>
      <c r="I2" s="10" t="s">
        <v>25</v>
      </c>
      <c r="J2" s="10" t="s">
        <v>16</v>
      </c>
      <c r="K2" s="10" t="s">
        <v>17</v>
      </c>
      <c r="L2" s="1"/>
      <c r="M2" s="6">
        <f>F2</f>
        <v>340</v>
      </c>
      <c r="N2" s="7" t="str">
        <f>H2&amp;": "&amp;I2&amp;"- "&amp;J2</f>
        <v>135660: Akia Nyrie Smith- Cora J Baker</v>
      </c>
      <c r="O2" s="8" t="str">
        <f>Q2&amp;R2</f>
        <v>VS-9544</v>
      </c>
      <c r="P2" s="9" t="str">
        <f>LEFT(S2,4)</f>
        <v>Visa</v>
      </c>
      <c r="Q2" s="9" t="str">
        <f>IF(P2="Visa","VS-",IF(P2="Mast","MC-",IF(P2="Disc","DIS-",IF(P2="amer","AMEX-"))))</f>
        <v>VS-</v>
      </c>
      <c r="R2" s="9" t="str">
        <f>RIGHT(S2,4)</f>
        <v>9544</v>
      </c>
      <c r="S2" s="9" t="str">
        <f>MID(C2,8,(LEN(C2)-5))</f>
        <v>Visa - 9544</v>
      </c>
    </row>
    <row r="3" spans="1:19" x14ac:dyDescent="0.3">
      <c r="A3" s="10" t="s">
        <v>10</v>
      </c>
      <c r="B3" s="10" t="s">
        <v>11</v>
      </c>
      <c r="C3" s="10" t="s">
        <v>18</v>
      </c>
      <c r="D3" s="10" t="s">
        <v>13</v>
      </c>
      <c r="E3" s="10" t="s">
        <v>14</v>
      </c>
      <c r="F3" s="4">
        <v>410.41</v>
      </c>
      <c r="G3" s="10" t="s">
        <v>19</v>
      </c>
      <c r="H3" s="10">
        <v>106977</v>
      </c>
      <c r="I3" s="10" t="s">
        <v>20</v>
      </c>
      <c r="J3" s="10" t="s">
        <v>20</v>
      </c>
      <c r="K3" s="10" t="s">
        <v>17</v>
      </c>
      <c r="L3" s="1"/>
      <c r="M3" s="6">
        <f t="shared" ref="M3:M4" si="0">F3</f>
        <v>410.41</v>
      </c>
      <c r="N3" s="7" t="str">
        <f t="shared" ref="N3:N4" si="1">H3&amp;": "&amp;I3&amp;"- "&amp;J3</f>
        <v>106977: Megan Louhier- Megan Louhier</v>
      </c>
      <c r="O3" s="8" t="str">
        <f t="shared" ref="O3:O4" si="2">Q3&amp;R3</f>
        <v>VS-2529</v>
      </c>
      <c r="P3" s="9" t="str">
        <f t="shared" ref="P3:P4" si="3">LEFT(S3,4)</f>
        <v>Visa</v>
      </c>
      <c r="Q3" s="9" t="str">
        <f t="shared" ref="Q3:Q4" si="4">IF(P3="Visa","VS-",IF(P3="Mast","MC-",IF(P3="Disc","DIS-",IF(P3="amer","AMEX-"))))</f>
        <v>VS-</v>
      </c>
      <c r="R3" s="9" t="str">
        <f t="shared" ref="R3:R4" si="5">RIGHT(S3,4)</f>
        <v>2529</v>
      </c>
      <c r="S3" s="9" t="str">
        <f t="shared" ref="S3:S4" si="6">MID(C3,8,(LEN(C3)-5))</f>
        <v>Visa - 2529</v>
      </c>
    </row>
    <row r="4" spans="1:19" x14ac:dyDescent="0.3">
      <c r="A4" s="10" t="s">
        <v>10</v>
      </c>
      <c r="B4" s="10" t="s">
        <v>11</v>
      </c>
      <c r="C4" s="10" t="s">
        <v>21</v>
      </c>
      <c r="D4" s="10" t="s">
        <v>13</v>
      </c>
      <c r="E4" s="10" t="s">
        <v>14</v>
      </c>
      <c r="F4" s="11">
        <v>341.13</v>
      </c>
      <c r="G4" s="10" t="s">
        <v>22</v>
      </c>
      <c r="H4" s="10">
        <v>134991</v>
      </c>
      <c r="I4" s="10" t="s">
        <v>26</v>
      </c>
      <c r="J4" s="10" t="s">
        <v>23</v>
      </c>
      <c r="K4" s="10" t="s">
        <v>17</v>
      </c>
      <c r="L4" s="1"/>
      <c r="M4" s="6">
        <f t="shared" si="0"/>
        <v>341.13</v>
      </c>
      <c r="N4" s="7" t="str">
        <f t="shared" si="1"/>
        <v>134991: Melissa Brennan- Melissa A Brennan</v>
      </c>
      <c r="O4" s="8" t="str">
        <f t="shared" si="2"/>
        <v>VS-9416</v>
      </c>
      <c r="P4" s="9" t="str">
        <f t="shared" si="3"/>
        <v>Visa</v>
      </c>
      <c r="Q4" s="9" t="str">
        <f t="shared" si="4"/>
        <v>VS-</v>
      </c>
      <c r="R4" s="9" t="str">
        <f t="shared" si="5"/>
        <v>9416</v>
      </c>
      <c r="S4" s="9" t="str">
        <f t="shared" si="6"/>
        <v>Visa - 9416</v>
      </c>
    </row>
    <row r="5" spans="1:19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9" x14ac:dyDescent="0.3">
      <c r="A6" s="1"/>
      <c r="B6" s="1"/>
      <c r="C6" s="1"/>
      <c r="D6" s="1"/>
      <c r="E6" s="3" t="s">
        <v>27</v>
      </c>
      <c r="F6" s="4">
        <f>SUM(F2:F5)</f>
        <v>1091.54</v>
      </c>
      <c r="G6" s="1"/>
      <c r="H6" s="1"/>
      <c r="I6" s="1"/>
      <c r="J6" s="1"/>
      <c r="K6" s="1"/>
      <c r="L6" s="1"/>
    </row>
    <row r="7" spans="1:19" x14ac:dyDescent="0.3">
      <c r="A7" s="5" t="s">
        <v>28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9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9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9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9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9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9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9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9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PaymentsDetailedReport20260701_</vt:lpstr>
      <vt:lpstr>PaymentsDetailedReport20260701_!Print_Area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Zayas, Raul</cp:lastModifiedBy>
  <cp:lastPrinted>2026-07-01T18:06:31Z</cp:lastPrinted>
  <dcterms:created xsi:type="dcterms:W3CDTF">2026-07-01T18:07:16Z</dcterms:created>
  <dcterms:modified xsi:type="dcterms:W3CDTF">2026-07-15T17:26:14Z</dcterms:modified>
</cp:coreProperties>
</file>