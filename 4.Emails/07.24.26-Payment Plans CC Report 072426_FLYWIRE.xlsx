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nfrew\Workflow\4.Emails\"/>
    </mc:Choice>
  </mc:AlternateContent>
  <xr:revisionPtr revIDLastSave="0" documentId="13_ncr:1_{322E196C-6566-4AE6-AE79-E422478BE071}" xr6:coauthVersionLast="47" xr6:coauthVersionMax="47" xr10:uidLastSave="{00000000-0000-0000-0000-000000000000}"/>
  <bookViews>
    <workbookView xWindow="-108" yWindow="-108" windowWidth="23256" windowHeight="12456" xr2:uid="{3DE98709-DBE7-4539-AEBC-D09BE2D2BEC0}"/>
  </bookViews>
  <sheets>
    <sheet name="PaymentsDetailedReport20260724_" sheetId="1" r:id="rId1"/>
  </sheets>
  <definedNames>
    <definedName name="_xlnm.Print_Area" localSheetId="0">PaymentsDetailedReport20260724_!$A$1:$K$4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R2" i="1" s="1"/>
  <c r="N2" i="1"/>
  <c r="M2" i="1"/>
  <c r="F4" i="1"/>
  <c r="P2" i="1" l="1"/>
  <c r="Q2" i="1" s="1"/>
  <c r="O2" i="1" s="1"/>
</calcChain>
</file>

<file path=xl/sharedStrings.xml><?xml version="1.0" encoding="utf-8"?>
<sst xmlns="http://schemas.openxmlformats.org/spreadsheetml/2006/main" count="22" uniqueCount="22">
  <si>
    <t>Location</t>
  </si>
  <si>
    <t>Department</t>
  </si>
  <si>
    <t>Payment Method</t>
  </si>
  <si>
    <t>Type</t>
  </si>
  <si>
    <t>Time</t>
  </si>
  <si>
    <t>Amount</t>
  </si>
  <si>
    <t>ID</t>
  </si>
  <si>
    <t>Account #</t>
  </si>
  <si>
    <t>Billing Name</t>
  </si>
  <si>
    <t>Application</t>
  </si>
  <si>
    <t>Credit</t>
  </si>
  <si>
    <t>RENFREW CENTER CORPORATE</t>
  </si>
  <si>
    <t>Payment Plan</t>
  </si>
  <si>
    <t>Credit Visa - 6877</t>
  </si>
  <si>
    <t>07/24/2026 07:05AM PDT</t>
  </si>
  <si>
    <t>bc2yix/381748800</t>
  </si>
  <si>
    <t>David Young</t>
  </si>
  <si>
    <t>RESIDENTIAL</t>
  </si>
  <si>
    <t>Patient Name</t>
  </si>
  <si>
    <t>Alexis Young</t>
  </si>
  <si>
    <t>TOTAL:</t>
  </si>
  <si>
    <t>PAYMENT PLAN: $303.13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</si>
</sst>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10" xfId="0" applyFont="1" applyFill="1" applyBorder="1" applyAlignment="1">
      <alignment horizontal="center"/>
    </xf>
    <xf numFmtId="8" fontId="16" fillId="0" borderId="11" xfId="0" applyNumberFormat="1" applyFont="1" applyBorder="1" applyAlignment="1">
      <alignment horizontal="center"/>
    </xf>
    <xf numFmtId="0" fontId="16" fillId="33" borderId="0" xfId="0" applyFont="1" applyFill="1" applyAlignment="1">
      <alignment horizontal="right"/>
    </xf>
    <xf numFmtId="8" fontId="16" fillId="33" borderId="0" xfId="0" applyNumberFormat="1" applyFont="1" applyFill="1" applyAlignment="1">
      <alignment horizontal="center"/>
    </xf>
    <xf numFmtId="0" fontId="16" fillId="33" borderId="0" xfId="0" applyFont="1" applyFill="1" applyAlignment="1">
      <alignment horizontal="left"/>
    </xf>
    <xf numFmtId="43" fontId="0" fillId="33" borderId="0" xfId="42" applyFont="1" applyFill="1"/>
    <xf numFmtId="40" fontId="0" fillId="33" borderId="0" xfId="0" applyNumberFormat="1" applyFill="1"/>
    <xf numFmtId="0" fontId="0" fillId="33" borderId="0" xfId="0" applyFill="1"/>
    <xf numFmtId="0" fontId="18" fillId="34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CC7F-1DED-4E74-82B7-3FD91E9D1929}">
  <dimension ref="A1:S13"/>
  <sheetViews>
    <sheetView tabSelected="1" topLeftCell="D1" workbookViewId="0">
      <selection activeCell="M3" sqref="M3"/>
    </sheetView>
  </sheetViews>
  <sheetFormatPr defaultRowHeight="14.4" x14ac:dyDescent="0.3"/>
  <cols>
    <col min="1" max="1" width="30.88671875" customWidth="1"/>
    <col min="2" max="2" width="18.88671875" customWidth="1"/>
    <col min="3" max="3" width="19.109375" customWidth="1"/>
    <col min="4" max="4" width="10.5546875" customWidth="1"/>
    <col min="5" max="5" width="21.88671875" customWidth="1"/>
    <col min="6" max="6" width="16.88671875" customWidth="1"/>
    <col min="7" max="7" width="20.44140625" customWidth="1"/>
    <col min="8" max="8" width="13.5546875" customWidth="1"/>
    <col min="9" max="9" width="22.88671875" customWidth="1"/>
    <col min="10" max="10" width="18.33203125" customWidth="1"/>
    <col min="11" max="11" width="25.109375" customWidth="1"/>
  </cols>
  <sheetData>
    <row r="1" spans="1:19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18</v>
      </c>
      <c r="J1" s="3" t="s">
        <v>8</v>
      </c>
      <c r="K1" s="3" t="s">
        <v>9</v>
      </c>
    </row>
    <row r="2" spans="1:19" x14ac:dyDescent="0.3">
      <c r="A2" s="2" t="s">
        <v>11</v>
      </c>
      <c r="B2" s="2" t="s">
        <v>12</v>
      </c>
      <c r="C2" s="2" t="s">
        <v>13</v>
      </c>
      <c r="D2" s="2" t="s">
        <v>10</v>
      </c>
      <c r="E2" s="2" t="s">
        <v>14</v>
      </c>
      <c r="F2" s="4">
        <v>303.13</v>
      </c>
      <c r="G2" s="2" t="s">
        <v>15</v>
      </c>
      <c r="H2" s="2">
        <v>135922</v>
      </c>
      <c r="I2" s="2" t="s">
        <v>19</v>
      </c>
      <c r="J2" s="2" t="s">
        <v>16</v>
      </c>
      <c r="K2" s="2" t="s">
        <v>17</v>
      </c>
      <c r="M2" s="8">
        <f>F2</f>
        <v>303.13</v>
      </c>
      <c r="N2" s="9" t="str">
        <f>H2&amp;": "&amp;I2&amp;"- "&amp;J2</f>
        <v>135922: Alexis Young- David Young</v>
      </c>
      <c r="O2" s="10" t="str">
        <f>Q2&amp;R2</f>
        <v>VS-6877</v>
      </c>
      <c r="P2" s="11" t="str">
        <f>LEFT(S2,4)</f>
        <v>Visa</v>
      </c>
      <c r="Q2" s="11" t="str">
        <f>IF(P2="Visa","VS-",IF(P2="Mast","MC-",IF(P2="Disc","DIS-",IF(P2="amer","AMEX-"))))</f>
        <v>VS-</v>
      </c>
      <c r="R2" s="11" t="str">
        <f>RIGHT(S2,4)</f>
        <v>6877</v>
      </c>
      <c r="S2" s="11" t="str">
        <f>MID(C2,8,(LEN(C2)-5))</f>
        <v>Visa - 6877</v>
      </c>
    </row>
    <row r="3" spans="1:19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9" x14ac:dyDescent="0.3">
      <c r="A4" s="7" t="s">
        <v>21</v>
      </c>
      <c r="B4" s="1"/>
      <c r="C4" s="1"/>
      <c r="D4" s="1"/>
      <c r="E4" s="5" t="s">
        <v>20</v>
      </c>
      <c r="F4" s="6">
        <f>SUM(F2:F3)</f>
        <v>303.13</v>
      </c>
      <c r="G4" s="1"/>
      <c r="H4" s="1"/>
      <c r="I4" s="1"/>
      <c r="J4" s="1"/>
      <c r="K4" s="1"/>
    </row>
    <row r="5" spans="1:19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9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9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9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9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9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9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9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9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  <pageSetup scale="5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PaymentsDetailedReport20260724_</vt:lpstr>
      <vt:lpstr>PaymentsDetailedReport20260724_!Print_Area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Tracy, Christine</dc:creator>
  <cp:lastModifiedBy>Zayas, Raul</cp:lastModifiedBy>
  <cp:lastPrinted>2026-07-24T18:17:58Z</cp:lastPrinted>
  <dcterms:created xsi:type="dcterms:W3CDTF">2026-07-24T18:18:41Z</dcterms:created>
  <dcterms:modified xsi:type="dcterms:W3CDTF">2026-08-04T12:48:47Z</dcterms:modified>
</cp:coreProperties>
</file>