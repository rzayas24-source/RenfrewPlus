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frew\Workflow\4.Emails\"/>
    </mc:Choice>
  </mc:AlternateContent>
  <xr:revisionPtr revIDLastSave="0" documentId="13_ncr:1_{2A4C8CC3-F5F9-4EB4-A3D9-A3510C56A2DB}" xr6:coauthVersionLast="47" xr6:coauthVersionMax="47" xr10:uidLastSave="{00000000-0000-0000-0000-000000000000}"/>
  <bookViews>
    <workbookView xWindow="-108" yWindow="-108" windowWidth="23256" windowHeight="12456" xr2:uid="{4C056F27-8231-4A4D-97A2-1CF8A4233143}"/>
  </bookViews>
  <sheets>
    <sheet name="PaymentsDetailedReport20260702_" sheetId="1" r:id="rId1"/>
  </sheets>
  <definedNames>
    <definedName name="_xlnm.Print_Area" localSheetId="0">PaymentsDetailedReport20260702_!$A$1:$K$13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P10" i="1" s="1"/>
  <c r="Q10" i="1" s="1"/>
  <c r="O10" i="1" s="1"/>
  <c r="R10" i="1"/>
  <c r="N10" i="1"/>
  <c r="M10" i="1"/>
  <c r="S9" i="1"/>
  <c r="R9" i="1" s="1"/>
  <c r="N9" i="1"/>
  <c r="M9" i="1"/>
  <c r="S8" i="1"/>
  <c r="R8" i="1"/>
  <c r="P8" i="1"/>
  <c r="Q8" i="1" s="1"/>
  <c r="O8" i="1" s="1"/>
  <c r="N8" i="1"/>
  <c r="M8" i="1"/>
  <c r="S7" i="1"/>
  <c r="P7" i="1" s="1"/>
  <c r="Q7" i="1" s="1"/>
  <c r="O7" i="1" s="1"/>
  <c r="R7" i="1"/>
  <c r="N7" i="1"/>
  <c r="M7" i="1"/>
  <c r="S6" i="1"/>
  <c r="R6" i="1"/>
  <c r="P6" i="1"/>
  <c r="Q6" i="1" s="1"/>
  <c r="O6" i="1" s="1"/>
  <c r="N6" i="1"/>
  <c r="M6" i="1"/>
  <c r="S5" i="1"/>
  <c r="R5" i="1"/>
  <c r="P5" i="1"/>
  <c r="Q5" i="1" s="1"/>
  <c r="O5" i="1" s="1"/>
  <c r="N5" i="1"/>
  <c r="M5" i="1"/>
  <c r="S4" i="1"/>
  <c r="R4" i="1" s="1"/>
  <c r="P4" i="1"/>
  <c r="Q4" i="1" s="1"/>
  <c r="O4" i="1" s="1"/>
  <c r="N4" i="1"/>
  <c r="M4" i="1"/>
  <c r="S3" i="1"/>
  <c r="R3" i="1" s="1"/>
  <c r="N3" i="1"/>
  <c r="M3" i="1"/>
  <c r="S2" i="1"/>
  <c r="R2" i="1" s="1"/>
  <c r="N2" i="1"/>
  <c r="M2" i="1"/>
  <c r="F12" i="1"/>
  <c r="P3" i="1" l="1"/>
  <c r="Q3" i="1" s="1"/>
  <c r="O3" i="1" s="1"/>
  <c r="P9" i="1"/>
  <c r="Q9" i="1" s="1"/>
  <c r="O9" i="1" s="1"/>
  <c r="P2" i="1"/>
  <c r="Q2" i="1" s="1"/>
  <c r="O2" i="1" s="1"/>
</calcChain>
</file>

<file path=xl/sharedStrings.xml><?xml version="1.0" encoding="utf-8"?>
<sst xmlns="http://schemas.openxmlformats.org/spreadsheetml/2006/main" count="94" uniqueCount="62">
  <si>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</si>
  <si>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</si>
  <si>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</si>
  <si>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</si>
  <si>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</si>
  <si>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</si>
  <si>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</si>
  <si>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</si>
  <si>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</si>
  <si>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</si>
  <si>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</si>
  <si>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Finance-Corp</t>
  </si>
  <si>
    <t>Credit MasterCard - 4591</t>
  </si>
  <si>
    <t>Credit</t>
  </si>
  <si>
    <t>07/02/2026 07:33AM PDT</t>
  </si>
  <si>
    <t>askyix/365561408</t>
  </si>
  <si>
    <t>Jennifer Ator</t>
  </si>
  <si>
    <t>RESIDENTIAL</t>
  </si>
  <si>
    <t>Credit MasterCard - 4899</t>
  </si>
  <si>
    <t>07/02/2026 08:03AM PDT</t>
  </si>
  <si>
    <t>aswyix/365594176</t>
  </si>
  <si>
    <t>Meritain Health</t>
  </si>
  <si>
    <t>INTENSIVE OUTPATIENT</t>
  </si>
  <si>
    <t>Credit MasterCard - 1253</t>
  </si>
  <si>
    <t>07/02/2026 08:08AM PDT</t>
  </si>
  <si>
    <t>asmyix/365626944</t>
  </si>
  <si>
    <t>Healthgram</t>
  </si>
  <si>
    <t>Credit MasterCard - 5275</t>
  </si>
  <si>
    <t>07/02/2026 08:11AM PDT</t>
  </si>
  <si>
    <t>aszyix/365692480</t>
  </si>
  <si>
    <t>UnitedHealthcare</t>
  </si>
  <si>
    <t>DAY TREATMENT</t>
  </si>
  <si>
    <t>Credit Visa - 2985</t>
  </si>
  <si>
    <t>07/02/2026 08:13AM PDT</t>
  </si>
  <si>
    <t>aspyix/365725248</t>
  </si>
  <si>
    <t>AmeriHealth Administrators</t>
  </si>
  <si>
    <t>Credit Visa - 3617</t>
  </si>
  <si>
    <t>07/02/2026 08:14AM PDT</t>
  </si>
  <si>
    <t>asqyix/365758016</t>
  </si>
  <si>
    <t>AmeriHealth Inc</t>
  </si>
  <si>
    <t>Credit Visa - 1945</t>
  </si>
  <si>
    <t>07/02/2026 08:15AM PDT</t>
  </si>
  <si>
    <t>asryix/365790784</t>
  </si>
  <si>
    <t>Lilah Fleischer</t>
  </si>
  <si>
    <t>Credit Visa - 9276</t>
  </si>
  <si>
    <t>07/02/2026 08:17AM PDT</t>
  </si>
  <si>
    <t>asuyix/365889088</t>
  </si>
  <si>
    <t>Patient Name</t>
  </si>
  <si>
    <t>TOTAL:</t>
  </si>
  <si>
    <t>Ashlyn Slone</t>
  </si>
  <si>
    <t>Laura Raven</t>
  </si>
  <si>
    <t>Gillian King</t>
  </si>
  <si>
    <t>Shaelyn Stewart</t>
  </si>
  <si>
    <t>Sabrina McGroarty</t>
  </si>
  <si>
    <t>Need to apply by Patient-Leah Maloney/Sabriana McGroarty</t>
  </si>
  <si>
    <t>AR COLLECTIONS: $32,182.28</t>
  </si>
  <si>
    <t>Credit Visa - 4178</t>
  </si>
  <si>
    <t>07/02/2026 09:41AM PDT</t>
  </si>
  <si>
    <t>at2yix/366020160</t>
  </si>
  <si>
    <t>Avery Wood</t>
  </si>
  <si>
    <t>Paula Senires</t>
  </si>
  <si>
    <t>RES/FINAL PYMT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</si>
</sst>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right"/>
    </xf>
    <xf numFmtId="0" fontId="16" fillId="33" borderId="0" xfId="0" applyFont="1" applyFill="1" applyAlignment="1">
      <alignment horizontal="left"/>
    </xf>
    <xf numFmtId="0" fontId="16" fillId="3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43" fontId="0" fillId="33" borderId="0" xfId="42" applyFont="1" applyFill="1"/>
    <xf numFmtId="40" fontId="0" fillId="33" borderId="0" xfId="0" applyNumberFormat="1" applyFill="1"/>
    <xf numFmtId="0" fontId="0" fillId="33" borderId="0" xfId="0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08DF-536D-4905-86FB-981BD5DE7ABD}">
  <dimension ref="A1:S16"/>
  <sheetViews>
    <sheetView tabSelected="1" topLeftCell="J1" workbookViewId="0">
      <selection activeCell="N9" sqref="N9"/>
    </sheetView>
  </sheetViews>
  <sheetFormatPr defaultRowHeight="14.4" x14ac:dyDescent="0.3"/>
  <cols>
    <col min="1" max="1" width="30.88671875" customWidth="1"/>
    <col min="2" max="2" width="16.88671875" customWidth="1"/>
    <col min="3" max="3" width="20.33203125" customWidth="1"/>
    <col min="4" max="4" width="12.44140625" customWidth="1"/>
    <col min="5" max="5" width="23.88671875" customWidth="1"/>
    <col min="6" max="6" width="11" customWidth="1"/>
    <col min="7" max="7" width="20.44140625" customWidth="1"/>
    <col min="9" max="9" width="54.33203125" customWidth="1"/>
    <col min="10" max="10" width="25.44140625" customWidth="1"/>
    <col min="11" max="11" width="23.109375" customWidth="1"/>
    <col min="13" max="13" width="10.21875" bestFit="1" customWidth="1"/>
    <col min="14" max="14" width="70.33203125" bestFit="1" customWidth="1"/>
    <col min="15" max="15" width="8.3320312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47</v>
      </c>
      <c r="J1" s="3" t="s">
        <v>8</v>
      </c>
      <c r="K1" s="3" t="s">
        <v>9</v>
      </c>
    </row>
    <row r="2" spans="1:1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437.85</v>
      </c>
      <c r="G2" s="1" t="s">
        <v>15</v>
      </c>
      <c r="H2" s="1">
        <v>136389</v>
      </c>
      <c r="I2" s="1" t="s">
        <v>43</v>
      </c>
      <c r="J2" s="1" t="s">
        <v>16</v>
      </c>
      <c r="K2" s="1" t="s">
        <v>17</v>
      </c>
      <c r="M2" s="10">
        <f>F2</f>
        <v>437.85</v>
      </c>
      <c r="N2" s="11" t="str">
        <f>H2&amp;": "&amp;I2&amp;"- "&amp;J2</f>
        <v>136389: Lilah Fleischer- Jennifer Ator</v>
      </c>
      <c r="O2" s="12" t="str">
        <f>Q2&amp;R2</f>
        <v>MC-4591</v>
      </c>
      <c r="P2" s="13" t="str">
        <f>LEFT(S2,4)</f>
        <v>Mast</v>
      </c>
      <c r="Q2" s="13" t="str">
        <f>IF(P2="Visa","VS-",IF(P2="Mast","MC-",IF(P2="Disc","DIS-",IF(P2="amer","AMEX-"))))</f>
        <v>MC-</v>
      </c>
      <c r="R2" s="13" t="str">
        <f>RIGHT(S2,4)</f>
        <v>4591</v>
      </c>
      <c r="S2" s="13" t="str">
        <f>MID(C2,8,(LEN(C2)-5))</f>
        <v>MasterCard - 4591</v>
      </c>
    </row>
    <row r="3" spans="1:19" x14ac:dyDescent="0.3">
      <c r="A3" s="1" t="s">
        <v>10</v>
      </c>
      <c r="B3" s="1" t="s">
        <v>11</v>
      </c>
      <c r="C3" s="1" t="s">
        <v>18</v>
      </c>
      <c r="D3" s="1" t="s">
        <v>13</v>
      </c>
      <c r="E3" s="1" t="s">
        <v>19</v>
      </c>
      <c r="F3" s="2">
        <v>913.41</v>
      </c>
      <c r="G3" s="1" t="s">
        <v>20</v>
      </c>
      <c r="H3" s="1">
        <v>135448</v>
      </c>
      <c r="I3" s="1" t="s">
        <v>49</v>
      </c>
      <c r="J3" s="1" t="s">
        <v>21</v>
      </c>
      <c r="K3" s="1" t="s">
        <v>22</v>
      </c>
      <c r="M3" s="10">
        <f t="shared" ref="M3:M10" si="0">F3</f>
        <v>913.41</v>
      </c>
      <c r="N3" s="11" t="str">
        <f t="shared" ref="N3:N10" si="1">H3&amp;": "&amp;I3&amp;"- "&amp;J3</f>
        <v>135448: Ashlyn Slone- Meritain Health</v>
      </c>
      <c r="O3" s="12" t="str">
        <f t="shared" ref="O3:O10" si="2">Q3&amp;R3</f>
        <v>MC-4899</v>
      </c>
      <c r="P3" s="13" t="str">
        <f t="shared" ref="P3:P10" si="3">LEFT(S3,4)</f>
        <v>Mast</v>
      </c>
      <c r="Q3" s="13" t="str">
        <f t="shared" ref="Q3:Q10" si="4">IF(P3="Visa","VS-",IF(P3="Mast","MC-",IF(P3="Disc","DIS-",IF(P3="amer","AMEX-"))))</f>
        <v>MC-</v>
      </c>
      <c r="R3" s="13" t="str">
        <f t="shared" ref="R3:R10" si="5">RIGHT(S3,4)</f>
        <v>4899</v>
      </c>
      <c r="S3" s="13" t="str">
        <f t="shared" ref="S3:S10" si="6">MID(C3,8,(LEN(C3)-5))</f>
        <v>MasterCard - 4899</v>
      </c>
    </row>
    <row r="4" spans="1:19" x14ac:dyDescent="0.3">
      <c r="A4" s="1" t="s">
        <v>10</v>
      </c>
      <c r="B4" s="1" t="s">
        <v>11</v>
      </c>
      <c r="C4" s="1" t="s">
        <v>23</v>
      </c>
      <c r="D4" s="1" t="s">
        <v>13</v>
      </c>
      <c r="E4" s="1" t="s">
        <v>24</v>
      </c>
      <c r="F4" s="2">
        <v>698</v>
      </c>
      <c r="G4" s="1" t="s">
        <v>25</v>
      </c>
      <c r="H4" s="1">
        <v>136095</v>
      </c>
      <c r="I4" s="1" t="s">
        <v>50</v>
      </c>
      <c r="J4" s="1" t="s">
        <v>26</v>
      </c>
      <c r="K4" s="1" t="s">
        <v>22</v>
      </c>
      <c r="M4" s="10">
        <f t="shared" si="0"/>
        <v>698</v>
      </c>
      <c r="N4" s="11" t="str">
        <f t="shared" si="1"/>
        <v>136095: Laura Raven- Healthgram</v>
      </c>
      <c r="O4" s="12" t="str">
        <f t="shared" si="2"/>
        <v>MC-1253</v>
      </c>
      <c r="P4" s="13" t="str">
        <f t="shared" si="3"/>
        <v>Mast</v>
      </c>
      <c r="Q4" s="13" t="str">
        <f t="shared" si="4"/>
        <v>MC-</v>
      </c>
      <c r="R4" s="13" t="str">
        <f t="shared" si="5"/>
        <v>1253</v>
      </c>
      <c r="S4" s="13" t="str">
        <f t="shared" si="6"/>
        <v>MasterCard - 1253</v>
      </c>
    </row>
    <row r="5" spans="1:19" x14ac:dyDescent="0.3">
      <c r="A5" s="1" t="s">
        <v>10</v>
      </c>
      <c r="B5" s="1" t="s">
        <v>11</v>
      </c>
      <c r="C5" s="1" t="s">
        <v>27</v>
      </c>
      <c r="D5" s="1" t="s">
        <v>13</v>
      </c>
      <c r="E5" s="1" t="s">
        <v>28</v>
      </c>
      <c r="F5" s="2">
        <v>8282.93</v>
      </c>
      <c r="G5" s="1" t="s">
        <v>29</v>
      </c>
      <c r="H5" s="1">
        <v>121627</v>
      </c>
      <c r="I5" s="1" t="s">
        <v>51</v>
      </c>
      <c r="J5" s="1" t="s">
        <v>30</v>
      </c>
      <c r="K5" s="1" t="s">
        <v>31</v>
      </c>
      <c r="M5" s="10">
        <f t="shared" si="0"/>
        <v>8282.93</v>
      </c>
      <c r="N5" s="11" t="str">
        <f t="shared" si="1"/>
        <v>121627: Gillian King- UnitedHealthcare</v>
      </c>
      <c r="O5" s="12" t="str">
        <f t="shared" si="2"/>
        <v>MC-5275</v>
      </c>
      <c r="P5" s="13" t="str">
        <f t="shared" si="3"/>
        <v>Mast</v>
      </c>
      <c r="Q5" s="13" t="str">
        <f t="shared" si="4"/>
        <v>MC-</v>
      </c>
      <c r="R5" s="13" t="str">
        <f t="shared" si="5"/>
        <v>5275</v>
      </c>
      <c r="S5" s="13" t="str">
        <f t="shared" si="6"/>
        <v>MasterCard - 5275</v>
      </c>
    </row>
    <row r="6" spans="1:19" x14ac:dyDescent="0.3">
      <c r="A6" s="1" t="s">
        <v>10</v>
      </c>
      <c r="B6" s="1" t="s">
        <v>11</v>
      </c>
      <c r="C6" s="1" t="s">
        <v>32</v>
      </c>
      <c r="D6" s="1" t="s">
        <v>13</v>
      </c>
      <c r="E6" s="1" t="s">
        <v>33</v>
      </c>
      <c r="F6" s="2">
        <v>3595</v>
      </c>
      <c r="G6" s="1" t="s">
        <v>34</v>
      </c>
      <c r="H6" s="1">
        <v>136183</v>
      </c>
      <c r="I6" s="1" t="s">
        <v>52</v>
      </c>
      <c r="J6" s="1" t="s">
        <v>35</v>
      </c>
      <c r="K6" s="1" t="s">
        <v>31</v>
      </c>
      <c r="M6" s="10">
        <f t="shared" si="0"/>
        <v>3595</v>
      </c>
      <c r="N6" s="11" t="str">
        <f t="shared" si="1"/>
        <v>136183: Shaelyn Stewart- AmeriHealth Administrators</v>
      </c>
      <c r="O6" s="12" t="str">
        <f t="shared" si="2"/>
        <v>VS-2985</v>
      </c>
      <c r="P6" s="13" t="str">
        <f t="shared" si="3"/>
        <v>Visa</v>
      </c>
      <c r="Q6" s="13" t="str">
        <f t="shared" si="4"/>
        <v>VS-</v>
      </c>
      <c r="R6" s="13" t="str">
        <f t="shared" si="5"/>
        <v>2985</v>
      </c>
      <c r="S6" s="13" t="str">
        <f t="shared" si="6"/>
        <v>Visa - 2985</v>
      </c>
    </row>
    <row r="7" spans="1:19" x14ac:dyDescent="0.3">
      <c r="A7" s="1" t="s">
        <v>10</v>
      </c>
      <c r="B7" s="1" t="s">
        <v>11</v>
      </c>
      <c r="C7" s="1" t="s">
        <v>36</v>
      </c>
      <c r="D7" s="1" t="s">
        <v>13</v>
      </c>
      <c r="E7" s="1" t="s">
        <v>37</v>
      </c>
      <c r="F7" s="2">
        <v>2157</v>
      </c>
      <c r="G7" s="1" t="s">
        <v>38</v>
      </c>
      <c r="H7" s="1">
        <v>133304</v>
      </c>
      <c r="I7" s="1" t="s">
        <v>53</v>
      </c>
      <c r="J7" s="1" t="s">
        <v>39</v>
      </c>
      <c r="K7" s="1" t="s">
        <v>31</v>
      </c>
      <c r="M7" s="10">
        <f t="shared" si="0"/>
        <v>2157</v>
      </c>
      <c r="N7" s="11" t="str">
        <f t="shared" si="1"/>
        <v>133304: Sabrina McGroarty- AmeriHealth Inc</v>
      </c>
      <c r="O7" s="12" t="str">
        <f t="shared" si="2"/>
        <v>VS-3617</v>
      </c>
      <c r="P7" s="13" t="str">
        <f t="shared" si="3"/>
        <v>Visa</v>
      </c>
      <c r="Q7" s="13" t="str">
        <f t="shared" si="4"/>
        <v>VS-</v>
      </c>
      <c r="R7" s="13" t="str">
        <f t="shared" si="5"/>
        <v>3617</v>
      </c>
      <c r="S7" s="13" t="str">
        <f t="shared" si="6"/>
        <v>Visa - 3617</v>
      </c>
    </row>
    <row r="8" spans="1:19" x14ac:dyDescent="0.3">
      <c r="A8" s="1" t="s">
        <v>10</v>
      </c>
      <c r="B8" s="1" t="s">
        <v>11</v>
      </c>
      <c r="C8" s="1" t="s">
        <v>40</v>
      </c>
      <c r="D8" s="1" t="s">
        <v>13</v>
      </c>
      <c r="E8" s="1" t="s">
        <v>41</v>
      </c>
      <c r="F8" s="2">
        <v>11873</v>
      </c>
      <c r="G8" s="1" t="s">
        <v>42</v>
      </c>
      <c r="H8" s="1">
        <v>136058</v>
      </c>
      <c r="I8" s="4" t="s">
        <v>54</v>
      </c>
      <c r="J8" s="1" t="s">
        <v>39</v>
      </c>
      <c r="K8" s="1" t="s">
        <v>31</v>
      </c>
      <c r="M8" s="10">
        <f t="shared" si="0"/>
        <v>11873</v>
      </c>
      <c r="N8" s="11" t="str">
        <f t="shared" si="1"/>
        <v>136058: Need to apply by Patient-Leah Maloney/Sabriana McGroarty- AmeriHealth Inc</v>
      </c>
      <c r="O8" s="12" t="str">
        <f t="shared" si="2"/>
        <v>VS-1945</v>
      </c>
      <c r="P8" s="13" t="str">
        <f t="shared" si="3"/>
        <v>Visa</v>
      </c>
      <c r="Q8" s="13" t="str">
        <f t="shared" si="4"/>
        <v>VS-</v>
      </c>
      <c r="R8" s="13" t="str">
        <f t="shared" si="5"/>
        <v>1945</v>
      </c>
      <c r="S8" s="13" t="str">
        <f t="shared" si="6"/>
        <v>Visa - 1945</v>
      </c>
    </row>
    <row r="9" spans="1:19" x14ac:dyDescent="0.3">
      <c r="A9" s="1" t="s">
        <v>10</v>
      </c>
      <c r="B9" s="1" t="s">
        <v>11</v>
      </c>
      <c r="C9" s="1" t="s">
        <v>44</v>
      </c>
      <c r="D9" s="1" t="s">
        <v>13</v>
      </c>
      <c r="E9" s="1" t="s">
        <v>45</v>
      </c>
      <c r="F9" s="2">
        <v>4214</v>
      </c>
      <c r="G9" s="1" t="s">
        <v>46</v>
      </c>
      <c r="H9" s="1">
        <v>136058</v>
      </c>
      <c r="I9" s="4" t="s">
        <v>54</v>
      </c>
      <c r="J9" s="1" t="s">
        <v>39</v>
      </c>
      <c r="K9" s="1" t="s">
        <v>31</v>
      </c>
      <c r="M9" s="10">
        <f t="shared" si="0"/>
        <v>4214</v>
      </c>
      <c r="N9" s="11" t="str">
        <f t="shared" si="1"/>
        <v>136058: Need to apply by Patient-Leah Maloney/Sabriana McGroarty- AmeriHealth Inc</v>
      </c>
      <c r="O9" s="12" t="str">
        <f t="shared" si="2"/>
        <v>VS-9276</v>
      </c>
      <c r="P9" s="13" t="str">
        <f t="shared" si="3"/>
        <v>Visa</v>
      </c>
      <c r="Q9" s="13" t="str">
        <f t="shared" si="4"/>
        <v>VS-</v>
      </c>
      <c r="R9" s="13" t="str">
        <f t="shared" si="5"/>
        <v>9276</v>
      </c>
      <c r="S9" s="13" t="str">
        <f t="shared" si="6"/>
        <v>Visa - 9276</v>
      </c>
    </row>
    <row r="10" spans="1:19" x14ac:dyDescent="0.3">
      <c r="A10" s="1" t="s">
        <v>10</v>
      </c>
      <c r="B10" s="1" t="s">
        <v>11</v>
      </c>
      <c r="C10" s="1" t="s">
        <v>56</v>
      </c>
      <c r="D10" s="1" t="s">
        <v>13</v>
      </c>
      <c r="E10" s="1" t="s">
        <v>57</v>
      </c>
      <c r="F10" s="2">
        <v>11.09</v>
      </c>
      <c r="G10" s="1" t="s">
        <v>58</v>
      </c>
      <c r="H10" s="1">
        <v>108190</v>
      </c>
      <c r="I10" s="8" t="s">
        <v>59</v>
      </c>
      <c r="J10" s="1" t="s">
        <v>60</v>
      </c>
      <c r="K10" s="9" t="s">
        <v>61</v>
      </c>
      <c r="M10" s="10">
        <f t="shared" si="0"/>
        <v>11.09</v>
      </c>
      <c r="N10" s="11" t="str">
        <f t="shared" si="1"/>
        <v>108190: Avery Wood- Paula Senires</v>
      </c>
      <c r="O10" s="12" t="str">
        <f t="shared" si="2"/>
        <v>VS-4178</v>
      </c>
      <c r="P10" s="13" t="str">
        <f t="shared" si="3"/>
        <v>Visa</v>
      </c>
      <c r="Q10" s="13" t="str">
        <f t="shared" si="4"/>
        <v>VS-</v>
      </c>
      <c r="R10" s="13" t="str">
        <f t="shared" si="5"/>
        <v>4178</v>
      </c>
      <c r="S10" s="13" t="str">
        <f t="shared" si="6"/>
        <v>Visa - 4178</v>
      </c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9" x14ac:dyDescent="0.3">
      <c r="A12" s="1"/>
      <c r="B12" s="1"/>
      <c r="C12" s="1"/>
      <c r="D12" s="1"/>
      <c r="E12" s="5" t="s">
        <v>48</v>
      </c>
      <c r="F12" s="6">
        <f>SUM(F2:F11)</f>
        <v>32182.280000000002</v>
      </c>
      <c r="G12" s="1"/>
      <c r="H12" s="1"/>
      <c r="I12" s="1"/>
      <c r="J12" s="1"/>
      <c r="K12" s="1"/>
    </row>
    <row r="13" spans="1:19" x14ac:dyDescent="0.3">
      <c r="A13" s="7" t="s">
        <v>55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PaymentsDetailedReport20260702_</vt:lpstr>
      <vt:lpstr>PaymentsDetailedReport20260702_!Print_Area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Zayas, Raul</cp:lastModifiedBy>
  <cp:lastPrinted>2026-07-02T17:46:10Z</cp:lastPrinted>
  <dcterms:created xsi:type="dcterms:W3CDTF">2026-07-02T15:44:44Z</dcterms:created>
  <dcterms:modified xsi:type="dcterms:W3CDTF">2026-07-21T16:16:38Z</dcterms:modified>
</cp:coreProperties>
</file>