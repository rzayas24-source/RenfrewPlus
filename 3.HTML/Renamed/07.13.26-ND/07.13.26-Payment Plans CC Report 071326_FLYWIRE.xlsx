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nfrew\Workflow\3.HTML\Renamed\07.13.26-ND\"/>
    </mc:Choice>
  </mc:AlternateContent>
  <xr:revisionPtr revIDLastSave="0" documentId="8_{8289414B-AE77-4E27-8025-292F986263FC}" xr6:coauthVersionLast="47" xr6:coauthVersionMax="47" xr10:uidLastSave="{00000000-0000-0000-0000-000000000000}"/>
  <bookViews>
    <workbookView xWindow="-108" yWindow="-108" windowWidth="23256" windowHeight="12456" xr2:uid="{EF83FE4C-9F0A-48B3-8A95-02247A4CB5B0}"/>
  </bookViews>
  <sheets>
    <sheet name="PaymentsDetailedReport20260711_" sheetId="1" r:id="rId1"/>
  </sheets>
  <definedNames>
    <definedName name="_xlnm.Print_Area" localSheetId="0">PaymentsDetailedReport20260711_!$A$1:$K$12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R8" i="1" s="1"/>
  <c r="N8" i="1"/>
  <c r="M8" i="1"/>
  <c r="S7" i="1"/>
  <c r="R7" i="1" s="1"/>
  <c r="N7" i="1"/>
  <c r="M7" i="1"/>
  <c r="S6" i="1"/>
  <c r="P6" i="1" s="1"/>
  <c r="Q6" i="1" s="1"/>
  <c r="O6" i="1" s="1"/>
  <c r="R6" i="1"/>
  <c r="N6" i="1"/>
  <c r="M6" i="1"/>
  <c r="S5" i="1"/>
  <c r="P5" i="1" s="1"/>
  <c r="Q5" i="1" s="1"/>
  <c r="O5" i="1" s="1"/>
  <c r="R5" i="1"/>
  <c r="N5" i="1"/>
  <c r="M5" i="1"/>
  <c r="S4" i="1"/>
  <c r="R4" i="1"/>
  <c r="P4" i="1"/>
  <c r="Q4" i="1" s="1"/>
  <c r="O4" i="1" s="1"/>
  <c r="N4" i="1"/>
  <c r="M4" i="1"/>
  <c r="S3" i="1"/>
  <c r="R3" i="1"/>
  <c r="P3" i="1"/>
  <c r="Q3" i="1" s="1"/>
  <c r="O3" i="1" s="1"/>
  <c r="N3" i="1"/>
  <c r="M3" i="1"/>
  <c r="S2" i="1"/>
  <c r="R2" i="1" s="1"/>
  <c r="N2" i="1"/>
  <c r="M2" i="1"/>
  <c r="F10" i="1"/>
  <c r="P8" i="1" l="1"/>
  <c r="Q8" i="1" s="1"/>
  <c r="O8" i="1" s="1"/>
  <c r="P7" i="1"/>
  <c r="Q7" i="1" s="1"/>
  <c r="O7" i="1" s="1"/>
  <c r="P2" i="1"/>
  <c r="Q2" i="1" s="1"/>
  <c r="O2" i="1" s="1"/>
</calcChain>
</file>

<file path=xl/sharedStrings.xml><?xml version="1.0" encoding="utf-8"?>
<sst xmlns="http://schemas.openxmlformats.org/spreadsheetml/2006/main" count="77" uniqueCount="52">
  <si>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</si>
  <si>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</si>
  <si>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</si>
  <si>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</si>
  <si>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</si>
  <si>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</si>
  <si>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</si>
  <si>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</si>
  <si>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</si>
  <si>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</si>
  <si>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RENFREW CENTER CORPORATE</t>
  </si>
  <si>
    <t>Payment Plan</t>
  </si>
  <si>
    <t>Credit Visa - 9023</t>
  </si>
  <si>
    <t>Credit</t>
  </si>
  <si>
    <t>07/12/2026 07:05AM PDT</t>
  </si>
  <si>
    <t>b4syix/374212160</t>
  </si>
  <si>
    <t>Adrianna Marigliano</t>
  </si>
  <si>
    <t>RESIDENTIAL</t>
  </si>
  <si>
    <t>Credit Visa - 6376</t>
  </si>
  <si>
    <t>b4tyix/374244928</t>
  </si>
  <si>
    <t>Myesha Corum</t>
  </si>
  <si>
    <t>Credit Discover - 9506</t>
  </si>
  <si>
    <t>07/13/2026 07:04AM PDT</t>
  </si>
  <si>
    <t>b4uyix/374277696</t>
  </si>
  <si>
    <t>Michael Ruhl</t>
  </si>
  <si>
    <t>Credit American Express - 3007</t>
  </si>
  <si>
    <t>b4vyix/374310464</t>
  </si>
  <si>
    <t>Leslie A Nieves</t>
  </si>
  <si>
    <t>Finance-Corp</t>
  </si>
  <si>
    <t>Credit Visa - 2589</t>
  </si>
  <si>
    <t>07/13/2026 07:22AM PDT</t>
  </si>
  <si>
    <t>b5xyix/374343232</t>
  </si>
  <si>
    <t>Brian Cleary</t>
  </si>
  <si>
    <t>Credit Visa - 6117</t>
  </si>
  <si>
    <t>07/13/2026 08:59AM PDT</t>
  </si>
  <si>
    <t>b54yix/374474304</t>
  </si>
  <si>
    <t>Chelsea Fox</t>
  </si>
  <si>
    <t>ANCILLARY CHG MEDICAL RECORDS</t>
  </si>
  <si>
    <t>Credit MasterCard - 3971</t>
  </si>
  <si>
    <t>07/13/2026 09:02AM PDT</t>
  </si>
  <si>
    <t>b55yix/374507072</t>
  </si>
  <si>
    <t>John Cabral</t>
  </si>
  <si>
    <t>Patient Name</t>
  </si>
  <si>
    <t>Miabella Marigliano</t>
  </si>
  <si>
    <t>Azlin Corum</t>
  </si>
  <si>
    <t>Michelle Ruhl</t>
  </si>
  <si>
    <t>London Nieves</t>
  </si>
  <si>
    <t xml:space="preserve"> </t>
  </si>
  <si>
    <t>ANCILLARY MED RECORDS: $6.50</t>
  </si>
  <si>
    <t>PAYMENT PLANS: $838.60</t>
  </si>
  <si>
    <t>AR COLLECTIONS: $676.56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</si>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</sst>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left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43" fontId="0" fillId="33" borderId="0" xfId="42" applyFont="1" applyFill="1"/>
    <xf numFmtId="40" fontId="0" fillId="33" borderId="0" xfId="0" applyNumberFormat="1" applyFill="1"/>
    <xf numFmtId="0" fontId="0" fillId="33" borderId="0" xfId="0" applyFill="1"/>
    <xf numFmtId="0" fontId="19" fillId="34" borderId="0" xfId="0" applyFont="1" applyFill="1"/>
    <xf numFmtId="0" fontId="16" fillId="33" borderId="0" xfId="0" applyFont="1" applyFill="1" applyAlignment="1">
      <alignment horizontal="center"/>
    </xf>
    <xf numFmtId="8" fontId="18" fillId="33" borderId="0" xfId="0" applyNumberFormat="1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8" fontId="16" fillId="33" borderId="10" xfId="0" applyNumberFormat="1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A9AC-643F-4366-99AD-0B2BCCD19FDE}">
  <dimension ref="A1:S20"/>
  <sheetViews>
    <sheetView tabSelected="1" topLeftCell="B1" workbookViewId="0">
      <selection activeCell="K9" sqref="K9"/>
    </sheetView>
  </sheetViews>
  <sheetFormatPr defaultRowHeight="14.4" x14ac:dyDescent="0.3"/>
  <cols>
    <col min="1" max="1" width="38.109375" customWidth="1"/>
    <col min="2" max="2" width="17.33203125" customWidth="1"/>
    <col min="3" max="3" width="29.88671875" customWidth="1"/>
    <col min="4" max="4" width="9" customWidth="1"/>
    <col min="5" max="5" width="26.6640625" customWidth="1"/>
    <col min="6" max="6" width="14.88671875" customWidth="1"/>
    <col min="7" max="7" width="18.88671875" customWidth="1"/>
    <col min="8" max="8" width="9.5546875" customWidth="1"/>
    <col min="9" max="9" width="18.109375" customWidth="1"/>
    <col min="10" max="10" width="23.6640625" customWidth="1"/>
    <col min="11" max="11" width="38.44140625" customWidth="1"/>
    <col min="13" max="13" width="7.6640625" bestFit="1" customWidth="1"/>
    <col min="14" max="14" width="41" bestFit="1" customWidth="1"/>
    <col min="15" max="15" width="10.21875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42</v>
      </c>
      <c r="J1" s="2" t="s">
        <v>8</v>
      </c>
      <c r="K1" s="2" t="s">
        <v>9</v>
      </c>
    </row>
    <row r="2" spans="1:19" x14ac:dyDescent="0.3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4">
        <v>80.17</v>
      </c>
      <c r="G2" s="10" t="s">
        <v>15</v>
      </c>
      <c r="H2" s="10">
        <v>134526</v>
      </c>
      <c r="I2" s="10" t="s">
        <v>43</v>
      </c>
      <c r="J2" s="10" t="s">
        <v>16</v>
      </c>
      <c r="K2" s="10" t="s">
        <v>17</v>
      </c>
      <c r="M2" s="6">
        <f>F2</f>
        <v>80.17</v>
      </c>
      <c r="N2" s="7" t="str">
        <f>H2&amp;": "&amp;I2&amp;"- "&amp;J2</f>
        <v>134526: Miabella Marigliano- Adrianna Marigliano</v>
      </c>
      <c r="O2" s="8" t="str">
        <f>Q2&amp;R2</f>
        <v>VS-9023</v>
      </c>
      <c r="P2" s="9" t="str">
        <f>LEFT(S2,4)</f>
        <v>Visa</v>
      </c>
      <c r="Q2" s="9" t="str">
        <f>IF(P2="Visa","VS-",IF(P2="Mast","MC-",IF(P2="Disc","DIS-",IF(P2="amer","AMEX-"))))</f>
        <v>VS-</v>
      </c>
      <c r="R2" s="9" t="str">
        <f>RIGHT(S2,4)</f>
        <v>9023</v>
      </c>
      <c r="S2" s="9" t="str">
        <f>MID(C2,8,(LEN(C2)-5))</f>
        <v>Visa - 9023</v>
      </c>
    </row>
    <row r="3" spans="1:19" x14ac:dyDescent="0.3">
      <c r="A3" s="10" t="s">
        <v>10</v>
      </c>
      <c r="B3" s="10" t="s">
        <v>11</v>
      </c>
      <c r="C3" s="10" t="s">
        <v>18</v>
      </c>
      <c r="D3" s="10" t="s">
        <v>13</v>
      </c>
      <c r="E3" s="10" t="s">
        <v>14</v>
      </c>
      <c r="F3" s="4">
        <v>200</v>
      </c>
      <c r="G3" s="10" t="s">
        <v>19</v>
      </c>
      <c r="H3" s="10">
        <v>136391</v>
      </c>
      <c r="I3" s="10" t="s">
        <v>44</v>
      </c>
      <c r="J3" s="10" t="s">
        <v>20</v>
      </c>
      <c r="K3" s="10" t="s">
        <v>17</v>
      </c>
      <c r="M3" s="6">
        <f t="shared" ref="M3:M8" si="0">F3</f>
        <v>200</v>
      </c>
      <c r="N3" s="7" t="str">
        <f t="shared" ref="N3:N8" si="1">H3&amp;": "&amp;I3&amp;"- "&amp;J3</f>
        <v>136391: Azlin Corum- Myesha Corum</v>
      </c>
      <c r="O3" s="8" t="str">
        <f t="shared" ref="O3:O8" si="2">Q3&amp;R3</f>
        <v>VS-6376</v>
      </c>
      <c r="P3" s="9" t="str">
        <f t="shared" ref="P3:P8" si="3">LEFT(S3,4)</f>
        <v>Visa</v>
      </c>
      <c r="Q3" s="9" t="str">
        <f t="shared" ref="Q3:Q8" si="4">IF(P3="Visa","VS-",IF(P3="Mast","MC-",IF(P3="Disc","DIS-",IF(P3="amer","AMEX-"))))</f>
        <v>VS-</v>
      </c>
      <c r="R3" s="9" t="str">
        <f t="shared" ref="R3:R8" si="5">RIGHT(S3,4)</f>
        <v>6376</v>
      </c>
      <c r="S3" s="9" t="str">
        <f t="shared" ref="S3:S8" si="6">MID(C3,8,(LEN(C3)-5))</f>
        <v>Visa - 6376</v>
      </c>
    </row>
    <row r="4" spans="1:19" x14ac:dyDescent="0.3">
      <c r="A4" s="10" t="s">
        <v>10</v>
      </c>
      <c r="B4" s="10" t="s">
        <v>11</v>
      </c>
      <c r="C4" s="10" t="s">
        <v>21</v>
      </c>
      <c r="D4" s="10" t="s">
        <v>13</v>
      </c>
      <c r="E4" s="10" t="s">
        <v>22</v>
      </c>
      <c r="F4" s="4">
        <v>216.66</v>
      </c>
      <c r="G4" s="10" t="s">
        <v>23</v>
      </c>
      <c r="H4" s="10">
        <v>131500</v>
      </c>
      <c r="I4" s="10" t="s">
        <v>45</v>
      </c>
      <c r="J4" s="10" t="s">
        <v>24</v>
      </c>
      <c r="K4" s="10" t="s">
        <v>17</v>
      </c>
      <c r="M4" s="6">
        <f t="shared" si="0"/>
        <v>216.66</v>
      </c>
      <c r="N4" s="7" t="str">
        <f t="shared" si="1"/>
        <v>131500: Michelle Ruhl- Michael Ruhl</v>
      </c>
      <c r="O4" s="8" t="str">
        <f t="shared" si="2"/>
        <v>DIS-9506</v>
      </c>
      <c r="P4" s="9" t="str">
        <f t="shared" si="3"/>
        <v>Disc</v>
      </c>
      <c r="Q4" s="9" t="str">
        <f t="shared" si="4"/>
        <v>DIS-</v>
      </c>
      <c r="R4" s="9" t="str">
        <f t="shared" si="5"/>
        <v>9506</v>
      </c>
      <c r="S4" s="9" t="str">
        <f t="shared" si="6"/>
        <v>Discover - 9506</v>
      </c>
    </row>
    <row r="5" spans="1:19" x14ac:dyDescent="0.3">
      <c r="A5" s="10" t="s">
        <v>10</v>
      </c>
      <c r="B5" s="10" t="s">
        <v>11</v>
      </c>
      <c r="C5" s="10" t="s">
        <v>25</v>
      </c>
      <c r="D5" s="10" t="s">
        <v>13</v>
      </c>
      <c r="E5" s="10" t="s">
        <v>22</v>
      </c>
      <c r="F5" s="4">
        <v>341.77</v>
      </c>
      <c r="G5" s="10" t="s">
        <v>26</v>
      </c>
      <c r="H5" s="10">
        <v>135613</v>
      </c>
      <c r="I5" s="10" t="s">
        <v>46</v>
      </c>
      <c r="J5" s="10" t="s">
        <v>27</v>
      </c>
      <c r="K5" s="10" t="s">
        <v>17</v>
      </c>
      <c r="M5" s="6">
        <f t="shared" si="0"/>
        <v>341.77</v>
      </c>
      <c r="N5" s="7" t="str">
        <f t="shared" si="1"/>
        <v>135613: London Nieves- Leslie A Nieves</v>
      </c>
      <c r="O5" s="8" t="str">
        <f t="shared" si="2"/>
        <v>AMEX-3007</v>
      </c>
      <c r="P5" s="9" t="str">
        <f t="shared" si="3"/>
        <v>Amer</v>
      </c>
      <c r="Q5" s="9" t="str">
        <f t="shared" si="4"/>
        <v>AMEX-</v>
      </c>
      <c r="R5" s="9" t="str">
        <f t="shared" si="5"/>
        <v>3007</v>
      </c>
      <c r="S5" s="9" t="str">
        <f t="shared" si="6"/>
        <v>American Express - 3007</v>
      </c>
    </row>
    <row r="6" spans="1:19" x14ac:dyDescent="0.3">
      <c r="A6" s="10" t="s">
        <v>10</v>
      </c>
      <c r="B6" s="10" t="s">
        <v>28</v>
      </c>
      <c r="C6" s="10" t="s">
        <v>29</v>
      </c>
      <c r="D6" s="10" t="s">
        <v>13</v>
      </c>
      <c r="E6" s="10" t="s">
        <v>30</v>
      </c>
      <c r="F6" s="4">
        <v>200</v>
      </c>
      <c r="G6" s="10" t="s">
        <v>31</v>
      </c>
      <c r="H6" s="10">
        <v>135550</v>
      </c>
      <c r="I6" s="10" t="s">
        <v>47</v>
      </c>
      <c r="J6" s="10" t="s">
        <v>32</v>
      </c>
      <c r="K6" s="10" t="s">
        <v>17</v>
      </c>
      <c r="M6" s="6">
        <f t="shared" si="0"/>
        <v>200</v>
      </c>
      <c r="N6" s="7" t="str">
        <f t="shared" si="1"/>
        <v>135550:  - Brian Cleary</v>
      </c>
      <c r="O6" s="8" t="str">
        <f t="shared" si="2"/>
        <v>VS-2589</v>
      </c>
      <c r="P6" s="9" t="str">
        <f t="shared" si="3"/>
        <v>Visa</v>
      </c>
      <c r="Q6" s="9" t="str">
        <f t="shared" si="4"/>
        <v>VS-</v>
      </c>
      <c r="R6" s="9" t="str">
        <f t="shared" si="5"/>
        <v>2589</v>
      </c>
      <c r="S6" s="9" t="str">
        <f t="shared" si="6"/>
        <v>Visa - 2589</v>
      </c>
    </row>
    <row r="7" spans="1:19" hidden="1" x14ac:dyDescent="0.3">
      <c r="A7" s="10" t="s">
        <v>10</v>
      </c>
      <c r="B7" s="10" t="s">
        <v>28</v>
      </c>
      <c r="C7" s="10" t="s">
        <v>33</v>
      </c>
      <c r="D7" s="10" t="s">
        <v>13</v>
      </c>
      <c r="E7" s="10" t="s">
        <v>34</v>
      </c>
      <c r="F7" s="11">
        <v>6.5</v>
      </c>
      <c r="G7" s="12" t="s">
        <v>35</v>
      </c>
      <c r="H7" s="12">
        <v>134069</v>
      </c>
      <c r="I7" s="12" t="s">
        <v>36</v>
      </c>
      <c r="J7" s="12" t="s">
        <v>36</v>
      </c>
      <c r="K7" s="12" t="s">
        <v>37</v>
      </c>
      <c r="M7" s="6">
        <f t="shared" si="0"/>
        <v>6.5</v>
      </c>
      <c r="N7" s="7" t="str">
        <f t="shared" si="1"/>
        <v>134069: Chelsea Fox- Chelsea Fox</v>
      </c>
      <c r="O7" s="8" t="str">
        <f t="shared" si="2"/>
        <v>VS-6117</v>
      </c>
      <c r="P7" s="9" t="str">
        <f t="shared" si="3"/>
        <v>Visa</v>
      </c>
      <c r="Q7" s="9" t="str">
        <f t="shared" si="4"/>
        <v>VS-</v>
      </c>
      <c r="R7" s="9" t="str">
        <f t="shared" si="5"/>
        <v>6117</v>
      </c>
      <c r="S7" s="9" t="str">
        <f t="shared" si="6"/>
        <v>Visa - 6117</v>
      </c>
    </row>
    <row r="8" spans="1:19" x14ac:dyDescent="0.3">
      <c r="A8" s="10" t="s">
        <v>10</v>
      </c>
      <c r="B8" s="10" t="s">
        <v>28</v>
      </c>
      <c r="C8" s="10" t="s">
        <v>38</v>
      </c>
      <c r="D8" s="10" t="s">
        <v>13</v>
      </c>
      <c r="E8" s="10" t="s">
        <v>39</v>
      </c>
      <c r="F8" s="13">
        <v>476.56</v>
      </c>
      <c r="G8" s="10" t="s">
        <v>40</v>
      </c>
      <c r="H8" s="10">
        <v>136546</v>
      </c>
      <c r="I8" s="10"/>
      <c r="J8" s="10" t="s">
        <v>41</v>
      </c>
      <c r="K8" s="10" t="s">
        <v>17</v>
      </c>
      <c r="M8" s="6">
        <f t="shared" si="0"/>
        <v>476.56</v>
      </c>
      <c r="N8" s="7" t="str">
        <f t="shared" si="1"/>
        <v>136546: - John Cabral</v>
      </c>
      <c r="O8" s="8" t="str">
        <f t="shared" si="2"/>
        <v>MC-3971</v>
      </c>
      <c r="P8" s="9" t="str">
        <f t="shared" si="3"/>
        <v>Mast</v>
      </c>
      <c r="Q8" s="9" t="str">
        <f t="shared" si="4"/>
        <v>MC-</v>
      </c>
      <c r="R8" s="9" t="str">
        <f t="shared" si="5"/>
        <v>3971</v>
      </c>
      <c r="S8" s="9" t="str">
        <f t="shared" si="6"/>
        <v>MasterCard - 3971</v>
      </c>
    </row>
    <row r="9" spans="1:1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9" x14ac:dyDescent="0.3">
      <c r="A10" s="3" t="s">
        <v>49</v>
      </c>
      <c r="B10" s="1"/>
      <c r="C10" s="1"/>
      <c r="D10" s="1"/>
      <c r="E10" s="5" t="s">
        <v>51</v>
      </c>
      <c r="F10" s="4">
        <f>SUM(F2:F9)</f>
        <v>1521.6599999999999</v>
      </c>
      <c r="G10" s="1"/>
      <c r="H10" s="1"/>
      <c r="I10" s="1"/>
      <c r="J10" s="1"/>
      <c r="K10" s="1"/>
    </row>
    <row r="11" spans="1:19" x14ac:dyDescent="0.3">
      <c r="A11" s="3" t="s">
        <v>50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9" x14ac:dyDescent="0.3">
      <c r="A12" s="3" t="s">
        <v>48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PaymentsDetailedReport20260711_</vt:lpstr>
      <vt:lpstr>PaymentsDetailedReport20260711_!Print_Area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Zayas, Raul</cp:lastModifiedBy>
  <cp:lastPrinted>2026-07-13T18:37:51Z</cp:lastPrinted>
  <dcterms:created xsi:type="dcterms:W3CDTF">2026-07-13T18:38:47Z</dcterms:created>
  <dcterms:modified xsi:type="dcterms:W3CDTF">2026-07-24T20:48:21Z</dcterms:modified>
</cp:coreProperties>
</file>