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A8BB3F43-75FF-4828-B6C7-A0714284B2C1}" xr6:coauthVersionLast="47" xr6:coauthVersionMax="47" xr10:uidLastSave="{00000000-0000-0000-0000-000000000000}"/>
  <bookViews>
    <workbookView xWindow="28680" yWindow="-120" windowWidth="29040" windowHeight="15720" xr2:uid="{C5DB76CB-D47B-4626-B475-538DEDD3350D}"/>
  </bookViews>
  <sheets>
    <sheet name="PaymentsDetailedReport20260718_" sheetId="1" r:id="rId1"/>
  </sheets>
  <definedNames>
    <definedName name="_xlnm.Print_Area" localSheetId="0">PaymentsDetailedReport20260718_!$A$1:$K$13</definedName>
  </definedNames>
  <calcPr calcId="0"/>
</workbook>
</file>

<file path=xl/calcChain.xml><?xml version="1.0" encoding="utf-8"?>
<calcChain xmlns="http://schemas.openxmlformats.org/spreadsheetml/2006/main">
  <c r="F11" i="1" l="1"/>
</calcChain>
</file>

<file path=xl/sharedStrings.xml><?xml version="1.0" encoding="utf-8"?>
<sst xmlns="http://schemas.openxmlformats.org/spreadsheetml/2006/main" count="86" uniqueCount="54">
  <si>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</si>
  <si>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</si>
  <si>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</si>
  <si>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</si>
  <si>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</si>
  <si>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</si>
  <si>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</si>
  <si>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</si>
  <si>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</si>
  <si>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</si>
  <si>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RENFREW CENTER CORPORATE</t>
  </si>
  <si>
    <t>Payment Plan</t>
  </si>
  <si>
    <t>Credit Discover - 9685</t>
  </si>
  <si>
    <t>Credit</t>
  </si>
  <si>
    <t>07/19/2026 07:04AM PDT</t>
  </si>
  <si>
    <t>b9fyix/379029056</t>
  </si>
  <si>
    <t>Rachel David</t>
  </si>
  <si>
    <t>RESIDENTIAL</t>
  </si>
  <si>
    <t>Credit Discover - 8359</t>
  </si>
  <si>
    <t>b9gyix/379061824</t>
  </si>
  <si>
    <t>Allie N Finney</t>
  </si>
  <si>
    <t>Credit American Express - 2005</t>
  </si>
  <si>
    <t>07/20/2026 07:05AM PDT</t>
  </si>
  <si>
    <t>b9iyix/379127360</t>
  </si>
  <si>
    <t>Thomas Brooks</t>
  </si>
  <si>
    <t>Credit American Express - 2003</t>
  </si>
  <si>
    <t>b9kyix/379192896</t>
  </si>
  <si>
    <t>Michael Glynn</t>
  </si>
  <si>
    <t>DAY TREATMENT</t>
  </si>
  <si>
    <t>Credit Visa - 3246</t>
  </si>
  <si>
    <t>b9wyix/379225664</t>
  </si>
  <si>
    <t>Brenna Smith</t>
  </si>
  <si>
    <t>Credit American Express - 1009</t>
  </si>
  <si>
    <t>b9nyix/379291200</t>
  </si>
  <si>
    <t>Lisa Schmithorst</t>
  </si>
  <si>
    <t>Finance-Corp</t>
  </si>
  <si>
    <t>Credit Visa - 6830</t>
  </si>
  <si>
    <t>07/20/2026 10:48AM PDT</t>
  </si>
  <si>
    <t>bacyix/379979328</t>
  </si>
  <si>
    <t>Sxott Coco</t>
  </si>
  <si>
    <t>Credit American Express - 1004</t>
  </si>
  <si>
    <t>07/20/2026 10:50AM PDT</t>
  </si>
  <si>
    <t>badyix/380012096</t>
  </si>
  <si>
    <t>Jennifer Pouchot</t>
  </si>
  <si>
    <t>Patient Name</t>
  </si>
  <si>
    <t>Allie Finney</t>
  </si>
  <si>
    <t>Allison Brooks</t>
  </si>
  <si>
    <t>Hannah Glynn</t>
  </si>
  <si>
    <t>Marin Munoz</t>
  </si>
  <si>
    <t>Matteo Coco</t>
  </si>
  <si>
    <t>Mia Francois-Regalado</t>
  </si>
  <si>
    <t>AR COLLECTIONS: $3,300.00</t>
  </si>
  <si>
    <t>PAYMENT PLANS: $6,357.78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</si>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</sst>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Alignment="1">
      <alignment horizontal="left"/>
    </xf>
    <xf numFmtId="8" fontId="16" fillId="0" borderId="10" xfId="0" applyNumberFormat="1" applyFont="1" applyBorder="1" applyAlignment="1">
      <alignment horizontal="center"/>
    </xf>
    <xf numFmtId="8" fontId="16" fillId="33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2F78-4B56-4B0F-94BD-0CFB6B9E0D7A}">
  <dimension ref="A1:K17"/>
  <sheetViews>
    <sheetView tabSelected="1" workbookViewId="0">
      <selection activeCell="A14" sqref="A14"/>
    </sheetView>
  </sheetViews>
  <sheetFormatPr defaultRowHeight="15" x14ac:dyDescent="0.25"/>
  <cols>
    <col min="1" max="1" width="30.7109375" customWidth="1"/>
    <col min="2" max="2" width="20.28515625" customWidth="1"/>
    <col min="3" max="3" width="32.7109375" customWidth="1"/>
    <col min="4" max="4" width="11.85546875" customWidth="1"/>
    <col min="5" max="5" width="26.42578125" customWidth="1"/>
    <col min="6" max="6" width="11.7109375" customWidth="1"/>
    <col min="7" max="7" width="21" customWidth="1"/>
    <col min="9" max="9" width="22.5703125" customWidth="1"/>
    <col min="10" max="10" width="23" customWidth="1"/>
    <col min="11" max="11" width="19.28515625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44</v>
      </c>
      <c r="J1" s="4" t="s">
        <v>8</v>
      </c>
      <c r="K1" s="4" t="s">
        <v>9</v>
      </c>
    </row>
    <row r="2" spans="1:1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336.85</v>
      </c>
      <c r="G2" s="1" t="s">
        <v>15</v>
      </c>
      <c r="H2" s="1">
        <v>129735</v>
      </c>
      <c r="I2" s="1" t="s">
        <v>16</v>
      </c>
      <c r="J2" s="1" t="s">
        <v>16</v>
      </c>
      <c r="K2" s="1" t="s">
        <v>17</v>
      </c>
    </row>
    <row r="3" spans="1:11" x14ac:dyDescent="0.25">
      <c r="A3" s="1" t="s">
        <v>10</v>
      </c>
      <c r="B3" s="1" t="s">
        <v>11</v>
      </c>
      <c r="C3" s="1" t="s">
        <v>18</v>
      </c>
      <c r="D3" s="1" t="s">
        <v>13</v>
      </c>
      <c r="E3" s="1" t="s">
        <v>14</v>
      </c>
      <c r="F3" s="2">
        <v>227.97</v>
      </c>
      <c r="G3" s="1" t="s">
        <v>19</v>
      </c>
      <c r="H3" s="1">
        <v>134397</v>
      </c>
      <c r="I3" s="1" t="s">
        <v>45</v>
      </c>
      <c r="J3" s="1" t="s">
        <v>20</v>
      </c>
      <c r="K3" s="1" t="s">
        <v>17</v>
      </c>
    </row>
    <row r="4" spans="1:11" x14ac:dyDescent="0.25">
      <c r="A4" s="1" t="s">
        <v>10</v>
      </c>
      <c r="B4" s="1" t="s">
        <v>11</v>
      </c>
      <c r="C4" s="1" t="s">
        <v>21</v>
      </c>
      <c r="D4" s="1" t="s">
        <v>13</v>
      </c>
      <c r="E4" s="1" t="s">
        <v>22</v>
      </c>
      <c r="F4" s="2">
        <v>5000</v>
      </c>
      <c r="G4" s="1" t="s">
        <v>23</v>
      </c>
      <c r="H4" s="1">
        <v>119232</v>
      </c>
      <c r="I4" s="1" t="s">
        <v>46</v>
      </c>
      <c r="J4" s="1" t="s">
        <v>24</v>
      </c>
      <c r="K4" s="1" t="s">
        <v>17</v>
      </c>
    </row>
    <row r="5" spans="1:11" x14ac:dyDescent="0.25">
      <c r="A5" s="1" t="s">
        <v>10</v>
      </c>
      <c r="B5" s="1" t="s">
        <v>11</v>
      </c>
      <c r="C5" s="1" t="s">
        <v>25</v>
      </c>
      <c r="D5" s="1" t="s">
        <v>13</v>
      </c>
      <c r="E5" s="1" t="s">
        <v>22</v>
      </c>
      <c r="F5" s="2">
        <v>481.25</v>
      </c>
      <c r="G5" s="1" t="s">
        <v>26</v>
      </c>
      <c r="H5" s="1">
        <v>134932</v>
      </c>
      <c r="I5" s="1" t="s">
        <v>47</v>
      </c>
      <c r="J5" s="1" t="s">
        <v>27</v>
      </c>
      <c r="K5" s="1" t="s">
        <v>28</v>
      </c>
    </row>
    <row r="6" spans="1:11" x14ac:dyDescent="0.25">
      <c r="A6" s="1" t="s">
        <v>10</v>
      </c>
      <c r="B6" s="1" t="s">
        <v>11</v>
      </c>
      <c r="C6" s="1" t="s">
        <v>29</v>
      </c>
      <c r="D6" s="1" t="s">
        <v>13</v>
      </c>
      <c r="E6" s="1" t="s">
        <v>22</v>
      </c>
      <c r="F6" s="2">
        <v>211.71</v>
      </c>
      <c r="G6" s="1" t="s">
        <v>30</v>
      </c>
      <c r="H6" s="1">
        <v>135673</v>
      </c>
      <c r="I6" s="1" t="s">
        <v>48</v>
      </c>
      <c r="J6" s="1" t="s">
        <v>31</v>
      </c>
      <c r="K6" s="1" t="s">
        <v>17</v>
      </c>
    </row>
    <row r="7" spans="1:11" x14ac:dyDescent="0.25">
      <c r="A7" s="1" t="s">
        <v>10</v>
      </c>
      <c r="B7" s="1" t="s">
        <v>11</v>
      </c>
      <c r="C7" s="1" t="s">
        <v>32</v>
      </c>
      <c r="D7" s="1" t="s">
        <v>13</v>
      </c>
      <c r="E7" s="1" t="s">
        <v>22</v>
      </c>
      <c r="F7" s="2">
        <v>100</v>
      </c>
      <c r="G7" s="1" t="s">
        <v>33</v>
      </c>
      <c r="H7" s="1">
        <v>128614</v>
      </c>
      <c r="I7" s="1" t="s">
        <v>34</v>
      </c>
      <c r="J7" s="1" t="s">
        <v>34</v>
      </c>
      <c r="K7" s="1" t="s">
        <v>17</v>
      </c>
    </row>
    <row r="8" spans="1:11" x14ac:dyDescent="0.25">
      <c r="A8" s="1" t="s">
        <v>10</v>
      </c>
      <c r="B8" s="1" t="s">
        <v>35</v>
      </c>
      <c r="C8" s="1" t="s">
        <v>36</v>
      </c>
      <c r="D8" s="1" t="s">
        <v>13</v>
      </c>
      <c r="E8" s="1" t="s">
        <v>37</v>
      </c>
      <c r="F8" s="2">
        <v>2500</v>
      </c>
      <c r="G8" s="1" t="s">
        <v>38</v>
      </c>
      <c r="H8" s="1">
        <v>136326</v>
      </c>
      <c r="I8" s="1" t="s">
        <v>49</v>
      </c>
      <c r="J8" s="1" t="s">
        <v>39</v>
      </c>
      <c r="K8" s="1" t="s">
        <v>17</v>
      </c>
    </row>
    <row r="9" spans="1:11" x14ac:dyDescent="0.25">
      <c r="A9" s="1" t="s">
        <v>10</v>
      </c>
      <c r="B9" s="1" t="s">
        <v>35</v>
      </c>
      <c r="C9" s="1" t="s">
        <v>40</v>
      </c>
      <c r="D9" s="1" t="s">
        <v>13</v>
      </c>
      <c r="E9" s="1" t="s">
        <v>41</v>
      </c>
      <c r="F9" s="6">
        <v>800</v>
      </c>
      <c r="G9" s="1" t="s">
        <v>42</v>
      </c>
      <c r="H9" s="1">
        <v>136566</v>
      </c>
      <c r="I9" s="1" t="s">
        <v>50</v>
      </c>
      <c r="J9" s="1" t="s">
        <v>43</v>
      </c>
      <c r="K9" s="1" t="s">
        <v>17</v>
      </c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3" t="s">
        <v>53</v>
      </c>
      <c r="F11" s="7">
        <f>SUM(F2:F10)</f>
        <v>9657.7799999999988</v>
      </c>
      <c r="G11" s="1"/>
      <c r="H11" s="1"/>
      <c r="I11" s="1"/>
      <c r="J11" s="1"/>
      <c r="K11" s="1"/>
    </row>
    <row r="12" spans="1:11" x14ac:dyDescent="0.25">
      <c r="A12" s="5" t="s">
        <v>52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5" t="s">
        <v>51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PaymentsDetailedReport20260718_</vt:lpstr>
      <vt:lpstr>PaymentsDetailedReport20260718_!Print_Area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2026-07-20T18:21:06Z</cp:lastPrinted>
  <dcterms:created xsi:type="dcterms:W3CDTF">2026-07-20T18:21:46Z</dcterms:created>
  <dcterms:modified xsi:type="dcterms:W3CDTF">2026-07-20T18:21:49Z</dcterms:modified>
</cp:coreProperties>
</file>